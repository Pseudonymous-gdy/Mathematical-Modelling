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<sst xmlns="http://schemas.openxmlformats.org/spreadsheetml/2006/main" count="19" uniqueCount="19">
  <si>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period</t>
  </si>
  <si>
    <t>total import wgt</t>
  </si>
  <si>
    <t>total import value</t>
  </si>
  <si>
    <t>tariff cn-us</t>
  </si>
  <si>
    <t>tariff us-cn</t>
  </si>
  <si>
    <t>us production</t>
  </si>
  <si>
    <t>brazil production</t>
  </si>
  <si>
    <t>argentina production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</si>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</sst>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/>
    <xf numFmtId="3" fontId="2" fillId="0" borderId="0" xfId="0" applyNumberFormat="1" applyFont="1" applyFill="1" applyAlignment="1"/>
    <xf numFmtId="0" fontId="1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de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G2">
            <v>27317813014</v>
          </cell>
          <cell r="H2">
            <v>10523096916</v>
          </cell>
        </row>
        <row r="3">
          <cell r="G3">
            <v>36051173480</v>
          </cell>
          <cell r="H3">
            <v>14202621446</v>
          </cell>
        </row>
        <row r="4">
          <cell r="G4">
            <v>31689830357</v>
          </cell>
          <cell r="H4">
            <v>12224802399</v>
          </cell>
        </row>
        <row r="5">
          <cell r="G5">
            <v>8235392057</v>
          </cell>
          <cell r="H5">
            <v>3119336276</v>
          </cell>
        </row>
        <row r="6">
          <cell r="G6">
            <v>22575972465</v>
          </cell>
          <cell r="H6">
            <v>7988877001</v>
          </cell>
        </row>
        <row r="7">
          <cell r="G7">
            <v>34708471290</v>
          </cell>
          <cell r="H7">
            <v>14202646345</v>
          </cell>
        </row>
        <row r="8">
          <cell r="G8">
            <v>27313977871</v>
          </cell>
          <cell r="H8">
            <v>14102154082</v>
          </cell>
        </row>
        <row r="9">
          <cell r="G9">
            <v>30395674267</v>
          </cell>
          <cell r="H9">
            <v>17871585339</v>
          </cell>
        </row>
        <row r="10">
          <cell r="G10">
            <v>26602542393</v>
          </cell>
          <cell r="H10">
            <v>15163713089</v>
          </cell>
        </row>
        <row r="11">
          <cell r="G11">
            <v>27059488409</v>
          </cell>
          <cell r="H11">
            <v>12761369923</v>
          </cell>
        </row>
        <row r="12">
          <cell r="G12">
            <v>40925509771</v>
          </cell>
          <cell r="H12">
            <v>15787785730</v>
          </cell>
        </row>
        <row r="13">
          <cell r="G13">
            <v>38563906379</v>
          </cell>
          <cell r="H13">
            <v>14386114595</v>
          </cell>
        </row>
        <row r="14">
          <cell r="G14">
            <v>53796969992</v>
          </cell>
          <cell r="H14">
            <v>20310207678</v>
          </cell>
        </row>
        <row r="15">
          <cell r="G15">
            <v>68556607214</v>
          </cell>
          <cell r="H15">
            <v>27233070721</v>
          </cell>
        </row>
        <row r="16">
          <cell r="G16">
            <v>57963490811</v>
          </cell>
          <cell r="H16">
            <v>20452339452</v>
          </cell>
        </row>
        <row r="17">
          <cell r="G17">
            <v>60595839603</v>
          </cell>
          <cell r="H17">
            <v>20903176750</v>
          </cell>
        </row>
        <row r="18">
          <cell r="G18">
            <v>60476103963</v>
          </cell>
          <cell r="H18">
            <v>27208101300</v>
          </cell>
        </row>
        <row r="19">
          <cell r="G19">
            <v>53740401174.71</v>
          </cell>
          <cell r="H19">
            <v>31848677682</v>
          </cell>
        </row>
        <row r="20">
          <cell r="G20">
            <v>74471954170</v>
          </cell>
          <cell r="H20">
            <v>38917721136</v>
          </cell>
        </row>
        <row r="21">
          <cell r="G21">
            <v>72557710367</v>
          </cell>
          <cell r="H21">
            <v>31499887711</v>
          </cell>
        </row>
        <row r="22">
          <cell r="G22">
            <v>9723394000</v>
          </cell>
          <cell r="H22">
            <v>3540256716</v>
          </cell>
        </row>
        <row r="23">
          <cell r="G23">
            <v>7792820000</v>
          </cell>
          <cell r="H23">
            <v>2792549276.8</v>
          </cell>
        </row>
        <row r="24">
          <cell r="G24">
            <v>6603291000</v>
          </cell>
          <cell r="H24">
            <v>2414514435.62</v>
          </cell>
        </row>
        <row r="25">
          <cell r="G25">
            <v>3394680000</v>
          </cell>
          <cell r="H25">
            <v>1313216580.35</v>
          </cell>
        </row>
        <row r="26">
          <cell r="G26">
            <v>8962120000</v>
          </cell>
          <cell r="H26">
            <v>3012737560.2</v>
          </cell>
        </row>
        <row r="27">
          <cell r="G27">
            <v>5475490000</v>
          </cell>
          <cell r="H27">
            <v>1867358785.2</v>
          </cell>
        </row>
        <row r="28">
          <cell r="G28">
            <v>3435487000</v>
          </cell>
          <cell r="H28">
            <v>1781766353.65</v>
          </cell>
        </row>
        <row r="29">
          <cell r="G29">
            <v>4924690000</v>
          </cell>
          <cell r="H29">
            <v>2891531556.8</v>
          </cell>
        </row>
        <row r="30">
          <cell r="G30">
            <v>1736410000</v>
          </cell>
          <cell r="H30">
            <v>937216526.68</v>
          </cell>
        </row>
        <row r="31">
          <cell r="G31">
            <v>3918799000</v>
          </cell>
          <cell r="H31">
            <v>1692736277.51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E14" sqref="E14"/>
    </sheetView>
  </sheetViews>
  <sheetFormatPr defaultColWidth="9" defaultRowHeight="14" outlineLevelCol="7"/>
  <cols>
    <col min="6" max="6" width="28.1818181818182" customWidth="1"/>
    <col min="7" max="7" width="46.0909090909091" customWidth="1"/>
    <col min="8" max="8" width="73.2727272727273" customWidth="1"/>
  </cols>
  <sheetData>
    <row r="1" ht="1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7.5" spans="1:8">
      <c r="A2" s="1" t="s">
        <v>8</v>
      </c>
      <c r="B2" s="2">
        <f>[1]Sheet1!G2+[1]Sheet1!G12+[1]Sheet1!G22</f>
        <v>77966716785</v>
      </c>
      <c r="C2" s="2">
        <f>[1]Sheet1!H2+[1]Sheet1!H12+[1]Sheet1!H22</f>
        <v>29851139362</v>
      </c>
      <c r="D2" s="2">
        <v>3</v>
      </c>
      <c r="E2" s="2">
        <v>3.8</v>
      </c>
      <c r="F2" s="3">
        <v>108800000000</v>
      </c>
      <c r="G2" s="3">
        <v>96800000000</v>
      </c>
      <c r="H2" s="2">
        <v>55500000000</v>
      </c>
    </row>
    <row r="3" ht="17.5" spans="1:8">
      <c r="A3" s="1" t="s">
        <v>9</v>
      </c>
      <c r="B3" s="2">
        <f>[1]Sheet1!G3+[1]Sheet1!G13+[1]Sheet1!G23</f>
        <v>82407899859</v>
      </c>
      <c r="C3" s="2">
        <f>[1]Sheet1!H3+[1]Sheet1!H13+[1]Sheet1!H23</f>
        <v>31381285317.8</v>
      </c>
      <c r="D3" s="2">
        <v>3</v>
      </c>
      <c r="E3" s="2">
        <v>3.8</v>
      </c>
      <c r="F3" s="3">
        <v>114200000000</v>
      </c>
      <c r="G3" s="3">
        <v>114100000000</v>
      </c>
      <c r="H3" s="2">
        <v>57000000000</v>
      </c>
    </row>
    <row r="4" ht="17.5" spans="1:8">
      <c r="A4" s="1" t="s">
        <v>10</v>
      </c>
      <c r="B4" s="2">
        <f>[1]Sheet1!G4+[1]Sheet1!G14+[1]Sheet1!G24</f>
        <v>92090091349</v>
      </c>
      <c r="C4" s="2">
        <f>[1]Sheet1!H4+[1]Sheet1!H14+[1]Sheet1!H24</f>
        <v>34949524512.62</v>
      </c>
      <c r="D4" s="2">
        <v>3</v>
      </c>
      <c r="E4" s="2">
        <v>3.8</v>
      </c>
      <c r="F4" s="3">
        <v>121500000000</v>
      </c>
      <c r="G4" s="3">
        <v>119200000000</v>
      </c>
      <c r="H4" s="2">
        <v>57500000000</v>
      </c>
    </row>
    <row r="5" ht="17.5" spans="1:8">
      <c r="A5" s="1" t="s">
        <v>11</v>
      </c>
      <c r="B5" s="2">
        <f>[1]Sheet1!G5+[1]Sheet1!G15+[1]Sheet1!G25</f>
        <v>80186679271</v>
      </c>
      <c r="C5" s="2">
        <f>[1]Sheet1!H5+[1]Sheet1!H15+[1]Sheet1!H25</f>
        <v>31665623577.35</v>
      </c>
      <c r="D5" s="2">
        <v>28</v>
      </c>
      <c r="E5" s="2">
        <v>12</v>
      </c>
      <c r="F5" s="3">
        <v>116200000000</v>
      </c>
      <c r="G5" s="3">
        <v>117100000000</v>
      </c>
      <c r="H5" s="2">
        <v>54000000000</v>
      </c>
    </row>
    <row r="6" ht="17.5" spans="1:8">
      <c r="A6" s="1" t="s">
        <v>12</v>
      </c>
      <c r="B6" s="2">
        <f>[1]Sheet1!G6+[1]Sheet1!G16+[1]Sheet1!G26</f>
        <v>89501583276</v>
      </c>
      <c r="C6" s="2">
        <f>[1]Sheet1!H6+[1]Sheet1!H16+[1]Sheet1!H26</f>
        <v>31453954013.2</v>
      </c>
      <c r="D6" s="2">
        <v>33</v>
      </c>
      <c r="E6" s="2">
        <v>12</v>
      </c>
      <c r="F6" s="3">
        <v>96700000000</v>
      </c>
      <c r="G6" s="3">
        <v>126700000000</v>
      </c>
      <c r="H6" s="2">
        <v>45000000000</v>
      </c>
    </row>
    <row r="7" ht="17.5" spans="1:8">
      <c r="A7" s="1" t="s">
        <v>13</v>
      </c>
      <c r="B7" s="2">
        <f>[1]Sheet1!G7+[1]Sheet1!G17+[1]Sheet1!G27</f>
        <v>100779800893</v>
      </c>
      <c r="C7" s="2">
        <f>[1]Sheet1!H7+[1]Sheet1!H17+[1]Sheet1!H27</f>
        <v>36973181880.2</v>
      </c>
      <c r="D7" s="2">
        <v>33</v>
      </c>
      <c r="E7" s="2">
        <v>12</v>
      </c>
      <c r="F7" s="3">
        <v>114800000000</v>
      </c>
      <c r="G7" s="3">
        <v>133000000000</v>
      </c>
      <c r="H7" s="2">
        <v>49000000000</v>
      </c>
    </row>
    <row r="8" ht="17.5" spans="1:8">
      <c r="A8" s="1" t="s">
        <v>14</v>
      </c>
      <c r="B8" s="2">
        <f>[1]Sheet1!G8+[1]Sheet1!G18+[1]Sheet1!G28</f>
        <v>91225568834</v>
      </c>
      <c r="C8" s="2">
        <f>[1]Sheet1!H8+[1]Sheet1!H18+[1]Sheet1!H28</f>
        <v>43092021735.65</v>
      </c>
      <c r="D8" s="2">
        <v>33</v>
      </c>
      <c r="E8" s="2">
        <v>19</v>
      </c>
      <c r="F8" s="3">
        <v>120600000000</v>
      </c>
      <c r="G8" s="3">
        <v>152000000000</v>
      </c>
      <c r="H8" s="2">
        <v>43000000000</v>
      </c>
    </row>
    <row r="9" ht="17.5" spans="1:8">
      <c r="A9" s="1" t="s">
        <v>15</v>
      </c>
      <c r="B9" s="2">
        <f>[1]Sheet1!G9+[1]Sheet1!G19+[1]Sheet1!G29</f>
        <v>89060765441.71</v>
      </c>
      <c r="C9" s="2">
        <f>[1]Sheet1!H9+[1]Sheet1!H19+[1]Sheet1!H29</f>
        <v>52611794577.8</v>
      </c>
      <c r="D9" s="2">
        <v>33</v>
      </c>
      <c r="E9" s="2">
        <v>19</v>
      </c>
      <c r="F9" s="3">
        <v>113300000000</v>
      </c>
      <c r="G9" s="3">
        <v>154600000000</v>
      </c>
      <c r="H9" s="2">
        <v>21250000000</v>
      </c>
    </row>
    <row r="10" ht="17.5" spans="1:8">
      <c r="A10" s="1" t="s">
        <v>16</v>
      </c>
      <c r="B10" s="2">
        <f>[1]Sheet1!G10+[1]Sheet1!G20+[1]Sheet1!G30</f>
        <v>102810906563</v>
      </c>
      <c r="C10" s="2">
        <f>[1]Sheet1!H10+[1]Sheet1!H20+[1]Sheet1!H30</f>
        <v>55018650751.68</v>
      </c>
      <c r="D10" s="2">
        <v>33</v>
      </c>
      <c r="E10" s="2">
        <v>19</v>
      </c>
      <c r="F10" s="3">
        <v>113300000000</v>
      </c>
      <c r="G10" s="3">
        <v>154500000000</v>
      </c>
      <c r="H10" s="2">
        <v>48200000000</v>
      </c>
    </row>
    <row r="11" ht="17.5" spans="1:8">
      <c r="A11" s="1" t="s">
        <v>17</v>
      </c>
      <c r="B11" s="2">
        <f>[1]Sheet1!G11+[1]Sheet1!G21+[1]Sheet1!G31</f>
        <v>103535997776</v>
      </c>
      <c r="C11" s="2">
        <f>[1]Sheet1!H11+[1]Sheet1!H21+[1]Sheet1!H31</f>
        <v>45953993911.51</v>
      </c>
      <c r="D11" s="2">
        <v>33</v>
      </c>
      <c r="E11" s="2">
        <v>19</v>
      </c>
      <c r="F11" s="3">
        <v>118800000000</v>
      </c>
      <c r="G11" s="3">
        <v>171500000000</v>
      </c>
      <c r="H11" s="2">
        <v>49900000000</v>
      </c>
    </row>
    <row r="12" ht="17.5" spans="1:8">
      <c r="A12" s="4" t="s">
        <v>18</v>
      </c>
      <c r="B12" s="2"/>
      <c r="C12" s="2"/>
      <c r="D12" s="2">
        <v>34</v>
      </c>
      <c r="E12" s="2">
        <v>57</v>
      </c>
      <c r="F12" s="3">
        <v>117100000000</v>
      </c>
      <c r="G12" s="3">
        <v>177600000000</v>
      </c>
      <c r="H12" s="2">
        <v>47000000000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冯博文</dc:creator>
  <cp:lastModifiedBy>微信用户</cp:lastModifiedBy>
  <dcterms:created xsi:type="dcterms:W3CDTF">2023-05-12T11:15:00Z</dcterms:created>
  <dcterms:modified xsi:type="dcterms:W3CDTF">2025-11-21T09:15:26Z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7998B78E9AC44E9193175C24E8AB6B00_12</vt:lpwstr>
  </property>
</Properties>
</file>